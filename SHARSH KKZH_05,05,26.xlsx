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HARSH AI\"/>
    </mc:Choice>
  </mc:AlternateContent>
  <xr:revisionPtr revIDLastSave="0" documentId="13_ncr:1_{FDF27762-9BDD-4E69-8545-C0BA675A07A2}" xr6:coauthVersionLast="47" xr6:coauthVersionMax="47" xr10:uidLastSave="{00000000-0000-0000-0000-000000000000}"/>
  <bookViews>
    <workbookView xWindow="-108" yWindow="-108" windowWidth="23256" windowHeight="12456" xr2:uid="{F73A2F98-885F-4EA1-B557-3BDAED44B849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21" i="1"/>
  <c r="L20" i="1"/>
  <c r="L19" i="1"/>
  <c r="O18" i="1"/>
  <c r="O22" i="1" s="1"/>
  <c r="Q18" i="1"/>
  <c r="Q22" i="1" s="1"/>
  <c r="R5" i="1"/>
  <c r="S18" i="1"/>
  <c r="S22" i="1" s="1"/>
  <c r="X4" i="1"/>
  <c r="K9" i="1"/>
  <c r="X10" i="1"/>
  <c r="K11" i="1"/>
  <c r="X17" i="1"/>
  <c r="Z22" i="1"/>
  <c r="Y22" i="1"/>
  <c r="K20" i="1"/>
  <c r="K21" i="1"/>
  <c r="X19" i="1"/>
  <c r="K6" i="1"/>
  <c r="K7" i="1"/>
  <c r="X12" i="1"/>
  <c r="X13" i="1"/>
  <c r="K14" i="1"/>
  <c r="K15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U18" i="1"/>
  <c r="U22" i="1" s="1"/>
  <c r="J18" i="1"/>
  <c r="J22" i="1" s="1"/>
  <c r="I18" i="1"/>
  <c r="I22" i="1" s="1"/>
  <c r="H18" i="1"/>
  <c r="H22" i="1" s="1"/>
  <c r="G18" i="1"/>
  <c r="G22" i="1" s="1"/>
  <c r="F18" i="1"/>
  <c r="F22" i="1" s="1"/>
  <c r="E18" i="1"/>
  <c r="E22" i="1" s="1"/>
  <c r="P18" i="1"/>
  <c r="P22" i="1" s="1"/>
  <c r="R18" i="1"/>
  <c r="R22" i="1" s="1"/>
  <c r="V18" i="1"/>
  <c r="V22" i="1" s="1"/>
  <c r="T18" i="1"/>
  <c r="T22" i="1" s="1"/>
  <c r="N18" i="1"/>
  <c r="N22" i="1" s="1"/>
  <c r="D18" i="1"/>
  <c r="D22" i="1" s="1"/>
  <c r="C18" i="1"/>
  <c r="C22" i="1" s="1"/>
  <c r="B18" i="1"/>
  <c r="B22" i="1" s="1"/>
  <c r="K19" i="1"/>
  <c r="X6" i="1"/>
  <c r="X20" i="1"/>
  <c r="X5" i="1"/>
  <c r="X9" i="1"/>
  <c r="K10" i="1"/>
  <c r="X14" i="1"/>
  <c r="X21" i="1"/>
  <c r="X7" i="1"/>
  <c r="K16" i="1"/>
  <c r="X16" i="1"/>
  <c r="K4" i="1"/>
  <c r="K17" i="1"/>
  <c r="X11" i="1"/>
  <c r="K12" i="1"/>
  <c r="K8" i="1"/>
  <c r="K13" i="1"/>
  <c r="X8" i="1"/>
  <c r="X15" i="1"/>
  <c r="M18" i="1"/>
  <c r="M22" i="1" s="1"/>
  <c r="K5" i="1" l="1"/>
  <c r="X18" i="1"/>
  <c r="K18" i="1"/>
  <c r="K22" i="1" s="1"/>
  <c r="W18" i="1"/>
  <c r="W22" i="1" s="1"/>
  <c r="X22" i="1"/>
  <c r="L18" i="1"/>
  <c r="L22" i="1" s="1"/>
</calcChain>
</file>

<file path=xl/sharedStrings.xml><?xml version="1.0" encoding="utf-8"?>
<sst xmlns="http://schemas.openxmlformats.org/spreadsheetml/2006/main" count="56" uniqueCount="45">
  <si>
    <t>ԻՆՖ</t>
  </si>
  <si>
    <t>ԱՏԴ</t>
  </si>
  <si>
    <t>Ք/Հ</t>
  </si>
  <si>
    <t>Ժ/Ծ</t>
  </si>
  <si>
    <t>Զ/Հ</t>
  </si>
  <si>
    <t>Ընդհանուր</t>
  </si>
  <si>
    <t>արձակուրդ</t>
  </si>
  <si>
    <t>Ընդամենը</t>
  </si>
  <si>
    <t>Զինծառայողներ ընդհ</t>
  </si>
  <si>
    <t>Տեղափ</t>
  </si>
  <si>
    <t>բաժնից շար</t>
  </si>
  <si>
    <t>բաժին շար</t>
  </si>
  <si>
    <t>05,05,26</t>
  </si>
  <si>
    <t>Բաժանմունք</t>
  </si>
  <si>
    <t>Զինծառայող</t>
  </si>
  <si>
    <t>արձակուրդում</t>
  </si>
  <si>
    <t>Վիրաբուժական</t>
  </si>
  <si>
    <t>Քիթ-կոկորդ բ-ք</t>
  </si>
  <si>
    <t>Ակնաբուժական</t>
  </si>
  <si>
    <t>Վնասվածքաբանական</t>
  </si>
  <si>
    <t>Ուռոլոգիական</t>
  </si>
  <si>
    <t>Նեյրովիրաբուժական</t>
  </si>
  <si>
    <t>Թերապիա</t>
  </si>
  <si>
    <t>Վերակենդանացման</t>
  </si>
  <si>
    <t>Նյարդաբանական</t>
  </si>
  <si>
    <t>Գինեկոլոգիական</t>
  </si>
  <si>
    <t>որոնցից բուժական</t>
  </si>
  <si>
    <t>ԸՆԴ</t>
  </si>
  <si>
    <t>Զ/Ծ</t>
  </si>
  <si>
    <t>ՇԱՐ</t>
  </si>
  <si>
    <t>ՍՊԱ</t>
  </si>
  <si>
    <t>ՊԱՅՄ</t>
  </si>
  <si>
    <t>Զ/Ծ ԸՆՏ</t>
  </si>
  <si>
    <t>Զ/Պ</t>
  </si>
  <si>
    <t>Ք-ի</t>
  </si>
  <si>
    <t>ՇԱՐՔ</t>
  </si>
  <si>
    <t>ԵՂԵԼ է</t>
  </si>
  <si>
    <t>ԸՆՈՒՆՎԵԼ Է</t>
  </si>
  <si>
    <t>Դ/Գ</t>
  </si>
  <si>
    <t>ԱՌԿԱ Է</t>
  </si>
  <si>
    <t>Թռիչքային</t>
  </si>
  <si>
    <t>Դ/Ծ վ/բ բաժանմունք</t>
  </si>
  <si>
    <t>Կրծքային վ/բ</t>
  </si>
  <si>
    <t>Անոթային</t>
  </si>
  <si>
    <t>ԸՆԴԱՄ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</si>
</sst>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12"/>
      <color indexed="8"/>
      <name val="Arial Armenian"/>
      <family val="2"/>
      <charset val="204"/>
    </font>
    <font>
      <sz val="12"/>
      <color indexed="8"/>
      <name val="Calibri"/>
      <family val="2"/>
      <charset val="204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b/>
      <sz val="12"/>
      <color indexed="8"/>
      <name val="Sylfaen"/>
      <family val="1"/>
    </font>
    <font>
      <b/>
      <sz val="14"/>
      <color rgb="FF000000"/>
      <name val="Sylfaen"/>
      <family val="1"/>
    </font>
    <font>
      <b/>
      <sz val="18"/>
      <color indexed="8"/>
      <name val="Sylfaen"/>
      <family val="1"/>
    </font>
    <font>
      <b/>
      <sz val="12"/>
      <color indexed="8"/>
      <name val="Arial Armenian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 style="double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8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3" borderId="0" xfId="0" applyFont="1" applyFill="1"/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5" borderId="12" xfId="0" applyFont="1" applyFill="1" applyBorder="1"/>
    <xf numFmtId="0" fontId="5" fillId="6" borderId="12" xfId="0" applyFont="1" applyFill="1" applyBorder="1"/>
    <xf numFmtId="0" fontId="5" fillId="4" borderId="12" xfId="0" applyFont="1" applyFill="1" applyBorder="1"/>
    <xf numFmtId="0" fontId="3" fillId="5" borderId="13" xfId="0" applyFont="1" applyFill="1" applyBorder="1"/>
    <xf numFmtId="0" fontId="2" fillId="3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2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7" fillId="5" borderId="14" xfId="0" applyFont="1" applyFill="1" applyBorder="1"/>
    <xf numFmtId="0" fontId="6" fillId="2" borderId="6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8" fillId="5" borderId="12" xfId="0" applyFont="1" applyFill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6" fillId="2" borderId="24" xfId="0" applyFont="1" applyFill="1" applyBorder="1" applyAlignment="1">
      <alignment horizontal="center" wrapText="1"/>
    </xf>
    <xf numFmtId="0" fontId="3" fillId="0" borderId="20" xfId="0" applyFont="1" applyBorder="1"/>
    <xf numFmtId="0" fontId="3" fillId="0" borderId="21" xfId="0" applyFont="1" applyBorder="1"/>
    <xf numFmtId="0" fontId="6" fillId="2" borderId="10" xfId="0" applyFont="1" applyFill="1" applyBorder="1" applyAlignment="1">
      <alignment horizontal="center" wrapText="1"/>
    </xf>
    <xf numFmtId="0" fontId="3" fillId="0" borderId="10" xfId="0" applyFont="1" applyBorder="1"/>
    <xf numFmtId="0" fontId="3" fillId="0" borderId="1" xfId="0" applyFont="1" applyBorder="1"/>
    <xf numFmtId="0" fontId="6" fillId="2" borderId="3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wrapText="1"/>
    </xf>
    <xf numFmtId="0" fontId="2" fillId="2" borderId="29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6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B7C8-28AA-43BE-B814-A0038210D080}">
  <sheetPr>
    <pageSetUpPr fitToPage="1"/>
  </sheetPr>
  <dimension ref="A1:Z41"/>
  <sheetViews>
    <sheetView tabSelected="1" zoomScale="63" zoomScaleNormal="63" workbookViewId="0">
      <selection activeCell="J3" sqref="J3"/>
    </sheetView>
  </sheetViews>
  <sheetFormatPr defaultColWidth="9.109375" defaultRowHeight="23.4"/>
  <cols>
    <col min="1" max="1" width="28.6640625" style="1" customWidth="1"/>
    <col min="2" max="2" width="9.109375" style="1" customWidth="1"/>
    <col min="3" max="3" width="9.109375" style="6" customWidth="1"/>
    <col min="4" max="9" width="9.109375" style="1" customWidth="1"/>
    <col min="10" max="10" width="10.5546875" style="1" customWidth="1"/>
    <col min="11" max="11" width="8.77734375" style="6" hidden="1" customWidth="1"/>
    <col min="12" max="12" width="9.109375" style="6" customWidth="1"/>
    <col min="13" max="13" width="9.109375" style="6"/>
    <col min="14" max="22" width="9.109375" style="1"/>
    <col min="23" max="23" width="15" style="19" customWidth="1"/>
    <col min="24" max="24" width="8.21875" style="13" hidden="1" customWidth="1"/>
    <col min="25" max="25" width="11.5546875" style="19" hidden="1" customWidth="1"/>
    <col min="26" max="26" width="15" style="19" hidden="1" customWidth="1"/>
    <col min="27" max="16384" width="9.109375" style="1"/>
  </cols>
  <sheetData>
    <row r="1" spans="1:26" ht="22.8" customHeight="1" thickTop="1" thickBot="1">
      <c r="A1" s="64" t="s">
        <v>13</v>
      </c>
      <c r="B1" s="66" t="s">
        <v>36</v>
      </c>
      <c r="C1" s="67"/>
      <c r="D1" s="68"/>
      <c r="E1" s="71" t="s">
        <v>37</v>
      </c>
      <c r="F1" s="67"/>
      <c r="G1" s="68"/>
      <c r="H1" s="71" t="s">
        <v>38</v>
      </c>
      <c r="I1" s="67"/>
      <c r="J1" s="68"/>
      <c r="K1" s="73" t="s">
        <v>8</v>
      </c>
      <c r="L1" s="53" t="s">
        <v>39</v>
      </c>
      <c r="M1" s="54"/>
      <c r="N1" s="54"/>
      <c r="O1" s="54"/>
      <c r="P1" s="54"/>
      <c r="Q1" s="54"/>
      <c r="R1" s="54"/>
      <c r="S1" s="55"/>
      <c r="T1" s="45" t="s">
        <v>26</v>
      </c>
      <c r="U1" s="46"/>
      <c r="V1" s="47"/>
      <c r="W1" s="15"/>
      <c r="X1" s="12"/>
      <c r="Y1" s="15"/>
      <c r="Z1" s="15"/>
    </row>
    <row r="2" spans="1:26" ht="44.4" customHeight="1" thickBot="1">
      <c r="A2" s="65"/>
      <c r="B2" s="69"/>
      <c r="C2" s="69"/>
      <c r="D2" s="70"/>
      <c r="E2" s="72"/>
      <c r="F2" s="69"/>
      <c r="G2" s="70"/>
      <c r="H2" s="72"/>
      <c r="I2" s="69"/>
      <c r="J2" s="70"/>
      <c r="K2" s="74"/>
      <c r="L2" s="60" t="s">
        <v>44</v>
      </c>
      <c r="M2" s="62" t="s">
        <v>14</v>
      </c>
      <c r="N2" s="63"/>
      <c r="O2" s="63"/>
      <c r="P2" s="51" t="s">
        <v>4</v>
      </c>
      <c r="Q2" s="51" t="s">
        <v>32</v>
      </c>
      <c r="R2" s="56" t="s">
        <v>33</v>
      </c>
      <c r="S2" s="58" t="s">
        <v>34</v>
      </c>
      <c r="T2" s="48" t="s">
        <v>15</v>
      </c>
      <c r="U2" s="49"/>
      <c r="V2" s="50"/>
      <c r="W2" s="27" t="s">
        <v>5</v>
      </c>
      <c r="X2" s="12"/>
      <c r="Y2" s="27" t="s">
        <v>9</v>
      </c>
      <c r="Z2" s="27" t="s">
        <v>9</v>
      </c>
    </row>
    <row r="3" spans="1:26" ht="35.4" thickTop="1" thickBot="1">
      <c r="A3" s="28" t="s">
        <v>12</v>
      </c>
      <c r="B3" s="29" t="s">
        <v>27</v>
      </c>
      <c r="C3" s="30" t="s">
        <v>28</v>
      </c>
      <c r="D3" s="29" t="s">
        <v>29</v>
      </c>
      <c r="E3" s="29" t="s">
        <v>27</v>
      </c>
      <c r="F3" s="31" t="s">
        <v>28</v>
      </c>
      <c r="G3" s="29" t="s">
        <v>29</v>
      </c>
      <c r="H3" s="29" t="s">
        <v>27</v>
      </c>
      <c r="I3" s="32" t="s">
        <v>28</v>
      </c>
      <c r="J3" s="29" t="s">
        <v>29</v>
      </c>
      <c r="K3" s="61"/>
      <c r="L3" s="61"/>
      <c r="M3" s="33" t="s">
        <v>29</v>
      </c>
      <c r="N3" s="31" t="s">
        <v>30</v>
      </c>
      <c r="O3" s="31" t="s">
        <v>31</v>
      </c>
      <c r="P3" s="52"/>
      <c r="Q3" s="52"/>
      <c r="R3" s="57"/>
      <c r="S3" s="59"/>
      <c r="T3" s="31" t="s">
        <v>35</v>
      </c>
      <c r="U3" s="31" t="s">
        <v>30</v>
      </c>
      <c r="V3" s="26" t="s">
        <v>31</v>
      </c>
      <c r="W3" s="34" t="s">
        <v>6</v>
      </c>
      <c r="X3" s="35" t="s">
        <v>3</v>
      </c>
      <c r="Y3" s="34" t="s">
        <v>10</v>
      </c>
      <c r="Z3" s="34" t="s">
        <v>11</v>
      </c>
    </row>
    <row r="4" spans="1:26" ht="34.799999999999997" customHeight="1" thickTop="1" thickBot="1">
      <c r="A4" s="36" t="s">
        <v>16</v>
      </c>
      <c r="B4" s="3">
        <v>49</v>
      </c>
      <c r="C4" s="2">
        <v>42</v>
      </c>
      <c r="D4" s="3">
        <v>23</v>
      </c>
      <c r="E4" s="44">
        <v>6</v>
      </c>
      <c r="F4" s="3">
        <v>2</v>
      </c>
      <c r="G4" s="3">
        <v>2</v>
      </c>
      <c r="H4" s="3">
        <v>8</v>
      </c>
      <c r="I4" s="3">
        <v>4</v>
      </c>
      <c r="J4" s="3">
        <v>3</v>
      </c>
      <c r="K4" s="2">
        <f>SUM(M4+N4+O4+T4+U4+V4)</f>
        <v>40</v>
      </c>
      <c r="L4" s="9">
        <f>SUM(M4+N4+O4+P4+R4+Q4+S4+T4+U4+V4)</f>
        <v>47</v>
      </c>
      <c r="M4" s="2">
        <v>12</v>
      </c>
      <c r="N4" s="3">
        <v>2</v>
      </c>
      <c r="O4" s="3">
        <v>5</v>
      </c>
      <c r="P4" s="3">
        <v>0</v>
      </c>
      <c r="Q4" s="3">
        <v>2</v>
      </c>
      <c r="R4" s="10">
        <v>0</v>
      </c>
      <c r="S4" s="21">
        <v>5</v>
      </c>
      <c r="T4" s="3">
        <v>10</v>
      </c>
      <c r="U4" s="3">
        <v>6</v>
      </c>
      <c r="V4" s="10">
        <v>5</v>
      </c>
      <c r="W4" s="42">
        <f t="shared" ref="W4:W17" si="0">SUM(T4:V4)</f>
        <v>21</v>
      </c>
      <c r="X4" s="13">
        <f>SUM(M4+T4)</f>
        <v>22</v>
      </c>
      <c r="Y4" s="16">
        <v>0</v>
      </c>
      <c r="Z4" s="16">
        <v>0</v>
      </c>
    </row>
    <row r="5" spans="1:26" ht="35.4" customHeight="1" thickTop="1" thickBot="1">
      <c r="A5" s="37" t="s">
        <v>41</v>
      </c>
      <c r="B5" s="3">
        <v>31</v>
      </c>
      <c r="C5" s="2">
        <v>26</v>
      </c>
      <c r="D5" s="3">
        <v>15</v>
      </c>
      <c r="E5" s="3">
        <v>8</v>
      </c>
      <c r="F5" s="3">
        <v>2</v>
      </c>
      <c r="G5" s="3">
        <v>1</v>
      </c>
      <c r="H5" s="3">
        <v>10</v>
      </c>
      <c r="I5" s="3">
        <v>8</v>
      </c>
      <c r="J5" s="3">
        <v>4</v>
      </c>
      <c r="K5" s="2">
        <f t="shared" ref="K5:K17" si="1">SUM(M5+N5+O5+T5+U5+V5)</f>
        <v>20</v>
      </c>
      <c r="L5" s="9">
        <f>SUM(M5+N5+O5+P5+Q5+R5+S5+T5+U5+V5)</f>
        <v>29</v>
      </c>
      <c r="M5" s="2">
        <v>8</v>
      </c>
      <c r="N5" s="3">
        <v>1</v>
      </c>
      <c r="O5" s="3">
        <v>4</v>
      </c>
      <c r="P5" s="3">
        <v>1</v>
      </c>
      <c r="Q5" s="3">
        <v>1</v>
      </c>
      <c r="R5" s="10">
        <f t="shared" ref="R5" si="2">SUM(R4)</f>
        <v>0</v>
      </c>
      <c r="S5" s="21">
        <v>7</v>
      </c>
      <c r="T5" s="3">
        <v>4</v>
      </c>
      <c r="U5" s="3">
        <v>1</v>
      </c>
      <c r="V5" s="10">
        <v>2</v>
      </c>
      <c r="W5" s="42">
        <f t="shared" si="0"/>
        <v>7</v>
      </c>
      <c r="X5" s="13">
        <f t="shared" ref="X5:X17" si="3">SUM(M5+T5)</f>
        <v>12</v>
      </c>
      <c r="Y5" s="16">
        <v>0</v>
      </c>
      <c r="Z5" s="16">
        <v>0</v>
      </c>
    </row>
    <row r="6" spans="1:26" ht="36.6" customHeight="1" thickTop="1" thickBot="1">
      <c r="A6" s="38" t="s">
        <v>17</v>
      </c>
      <c r="B6" s="3">
        <v>38</v>
      </c>
      <c r="C6" s="2">
        <v>37</v>
      </c>
      <c r="D6" s="3">
        <v>32</v>
      </c>
      <c r="E6" s="3">
        <v>1</v>
      </c>
      <c r="F6" s="3">
        <v>1</v>
      </c>
      <c r="G6" s="3">
        <v>1</v>
      </c>
      <c r="H6" s="3">
        <v>2</v>
      </c>
      <c r="I6" s="3">
        <v>2</v>
      </c>
      <c r="J6" s="3">
        <v>2</v>
      </c>
      <c r="K6" s="2">
        <f t="shared" si="1"/>
        <v>36</v>
      </c>
      <c r="L6" s="9">
        <f t="shared" ref="L6:L17" si="4">SUM(M6+N6+O6+P6+R6+Q6+S6+T6+U6+V6)</f>
        <v>37</v>
      </c>
      <c r="M6" s="2">
        <v>22</v>
      </c>
      <c r="N6" s="3">
        <v>0</v>
      </c>
      <c r="O6" s="3">
        <v>2</v>
      </c>
      <c r="P6" s="3">
        <v>0</v>
      </c>
      <c r="Q6" s="3">
        <v>0</v>
      </c>
      <c r="R6" s="10">
        <v>1</v>
      </c>
      <c r="S6" s="21">
        <v>0</v>
      </c>
      <c r="T6" s="3">
        <v>9</v>
      </c>
      <c r="U6" s="3">
        <v>0</v>
      </c>
      <c r="V6" s="10">
        <v>3</v>
      </c>
      <c r="W6" s="42">
        <f t="shared" si="0"/>
        <v>12</v>
      </c>
      <c r="X6" s="13">
        <f t="shared" si="3"/>
        <v>31</v>
      </c>
      <c r="Y6" s="16">
        <v>0</v>
      </c>
      <c r="Z6" s="16">
        <v>0</v>
      </c>
    </row>
    <row r="7" spans="1:26" ht="37.799999999999997" customHeight="1" thickTop="1" thickBot="1">
      <c r="A7" s="36" t="s">
        <v>18</v>
      </c>
      <c r="B7" s="3">
        <v>3</v>
      </c>
      <c r="C7" s="2">
        <v>3</v>
      </c>
      <c r="D7" s="3">
        <v>3</v>
      </c>
      <c r="E7" s="3">
        <v>1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2">
        <f t="shared" si="1"/>
        <v>4</v>
      </c>
      <c r="L7" s="9">
        <f t="shared" si="4"/>
        <v>4</v>
      </c>
      <c r="M7" s="2">
        <v>0</v>
      </c>
      <c r="N7" s="3">
        <v>0</v>
      </c>
      <c r="O7" s="3">
        <v>1</v>
      </c>
      <c r="P7" s="3">
        <v>0</v>
      </c>
      <c r="Q7" s="3">
        <v>0</v>
      </c>
      <c r="R7" s="10">
        <v>0</v>
      </c>
      <c r="S7" s="21">
        <v>0</v>
      </c>
      <c r="T7" s="3">
        <v>3</v>
      </c>
      <c r="U7" s="3">
        <v>0</v>
      </c>
      <c r="V7" s="10">
        <v>0</v>
      </c>
      <c r="W7" s="42">
        <f t="shared" si="0"/>
        <v>3</v>
      </c>
      <c r="X7" s="13">
        <f t="shared" si="3"/>
        <v>3</v>
      </c>
      <c r="Y7" s="16">
        <v>0</v>
      </c>
      <c r="Z7" s="16">
        <v>0</v>
      </c>
    </row>
    <row r="8" spans="1:26" ht="33.6" customHeight="1" thickTop="1" thickBot="1">
      <c r="A8" s="38" t="s">
        <v>19</v>
      </c>
      <c r="B8" s="3">
        <v>68</v>
      </c>
      <c r="C8" s="2">
        <v>44</v>
      </c>
      <c r="D8" s="3">
        <v>27</v>
      </c>
      <c r="E8" s="3">
        <v>2</v>
      </c>
      <c r="F8" s="3">
        <v>1</v>
      </c>
      <c r="G8" s="3">
        <v>1</v>
      </c>
      <c r="H8" s="3">
        <v>5</v>
      </c>
      <c r="I8" s="3">
        <v>0</v>
      </c>
      <c r="J8" s="3">
        <v>0</v>
      </c>
      <c r="K8" s="2">
        <f t="shared" si="1"/>
        <v>65</v>
      </c>
      <c r="L8" s="9">
        <f t="shared" si="4"/>
        <v>66</v>
      </c>
      <c r="M8" s="2">
        <v>28</v>
      </c>
      <c r="N8" s="3">
        <v>11</v>
      </c>
      <c r="O8" s="3">
        <v>6</v>
      </c>
      <c r="P8" s="3">
        <v>0</v>
      </c>
      <c r="Q8" s="3">
        <v>0</v>
      </c>
      <c r="R8" s="10">
        <v>0</v>
      </c>
      <c r="S8" s="21">
        <v>1</v>
      </c>
      <c r="T8" s="3">
        <v>9</v>
      </c>
      <c r="U8" s="3">
        <v>4</v>
      </c>
      <c r="V8" s="10">
        <v>7</v>
      </c>
      <c r="W8" s="42">
        <f t="shared" si="0"/>
        <v>20</v>
      </c>
      <c r="X8" s="13">
        <f t="shared" si="3"/>
        <v>37</v>
      </c>
      <c r="Y8" s="16">
        <v>0</v>
      </c>
      <c r="Z8" s="16">
        <v>0</v>
      </c>
    </row>
    <row r="9" spans="1:26" ht="29.4" customHeight="1" thickTop="1" thickBot="1">
      <c r="A9" s="39" t="s">
        <v>42</v>
      </c>
      <c r="B9" s="3">
        <v>10</v>
      </c>
      <c r="C9" s="2">
        <v>9</v>
      </c>
      <c r="D9" s="3">
        <v>4</v>
      </c>
      <c r="E9" s="3">
        <v>1</v>
      </c>
      <c r="F9" s="3">
        <v>1</v>
      </c>
      <c r="G9" s="3">
        <v>0</v>
      </c>
      <c r="H9" s="3">
        <v>1</v>
      </c>
      <c r="I9" s="3">
        <v>1</v>
      </c>
      <c r="J9" s="3">
        <v>0</v>
      </c>
      <c r="K9" s="2">
        <f t="shared" si="1"/>
        <v>9</v>
      </c>
      <c r="L9" s="9">
        <f t="shared" si="4"/>
        <v>10</v>
      </c>
      <c r="M9" s="2">
        <v>2</v>
      </c>
      <c r="N9" s="3">
        <v>4</v>
      </c>
      <c r="O9" s="3">
        <v>0</v>
      </c>
      <c r="P9" s="3">
        <v>0</v>
      </c>
      <c r="Q9" s="3">
        <v>1</v>
      </c>
      <c r="R9" s="10">
        <v>0</v>
      </c>
      <c r="S9" s="21">
        <v>0</v>
      </c>
      <c r="T9" s="3">
        <v>2</v>
      </c>
      <c r="U9" s="3">
        <v>0</v>
      </c>
      <c r="V9" s="10">
        <v>1</v>
      </c>
      <c r="W9" s="42">
        <f t="shared" si="0"/>
        <v>3</v>
      </c>
      <c r="X9" s="13">
        <f t="shared" si="3"/>
        <v>4</v>
      </c>
      <c r="Y9" s="16">
        <v>0</v>
      </c>
      <c r="Z9" s="16">
        <v>0</v>
      </c>
    </row>
    <row r="10" spans="1:26" ht="31.2" customHeight="1" thickTop="1" thickBot="1">
      <c r="A10" s="37" t="s">
        <v>20</v>
      </c>
      <c r="B10" s="3">
        <v>47</v>
      </c>
      <c r="C10" s="2">
        <v>32</v>
      </c>
      <c r="D10" s="3">
        <v>21</v>
      </c>
      <c r="E10" s="3">
        <v>3</v>
      </c>
      <c r="F10" s="3">
        <v>2</v>
      </c>
      <c r="G10" s="3">
        <v>2</v>
      </c>
      <c r="H10" s="3">
        <v>3</v>
      </c>
      <c r="I10" s="3">
        <v>3</v>
      </c>
      <c r="J10" s="3">
        <v>3</v>
      </c>
      <c r="K10" s="2">
        <f t="shared" si="1"/>
        <v>42</v>
      </c>
      <c r="L10" s="9">
        <f t="shared" si="4"/>
        <v>47</v>
      </c>
      <c r="M10" s="2">
        <v>20</v>
      </c>
      <c r="N10" s="3">
        <v>5</v>
      </c>
      <c r="O10" s="3">
        <v>6</v>
      </c>
      <c r="P10" s="3">
        <v>1</v>
      </c>
      <c r="Q10" s="3">
        <v>2</v>
      </c>
      <c r="R10" s="10">
        <v>0</v>
      </c>
      <c r="S10" s="21">
        <v>2</v>
      </c>
      <c r="T10" s="3">
        <v>9</v>
      </c>
      <c r="U10" s="3">
        <v>1</v>
      </c>
      <c r="V10" s="10">
        <v>1</v>
      </c>
      <c r="W10" s="42">
        <f t="shared" si="0"/>
        <v>11</v>
      </c>
      <c r="X10" s="13">
        <f t="shared" si="3"/>
        <v>29</v>
      </c>
      <c r="Y10" s="16">
        <v>0</v>
      </c>
      <c r="Z10" s="16">
        <v>0</v>
      </c>
    </row>
    <row r="11" spans="1:26" ht="28.8" customHeight="1" thickTop="1" thickBot="1">
      <c r="A11" s="38" t="s">
        <v>21</v>
      </c>
      <c r="B11" s="3">
        <v>29</v>
      </c>
      <c r="C11" s="2">
        <v>19</v>
      </c>
      <c r="D11" s="3">
        <v>3</v>
      </c>
      <c r="E11" s="3">
        <v>2</v>
      </c>
      <c r="F11" s="3">
        <v>2</v>
      </c>
      <c r="G11" s="3">
        <v>1</v>
      </c>
      <c r="H11" s="3">
        <v>2</v>
      </c>
      <c r="I11" s="3">
        <v>0</v>
      </c>
      <c r="J11" s="3">
        <v>0</v>
      </c>
      <c r="K11" s="2">
        <f t="shared" si="1"/>
        <v>23</v>
      </c>
      <c r="L11" s="9">
        <f t="shared" si="4"/>
        <v>28</v>
      </c>
      <c r="M11" s="2">
        <v>2</v>
      </c>
      <c r="N11" s="3">
        <v>1</v>
      </c>
      <c r="O11" s="3">
        <v>9</v>
      </c>
      <c r="P11" s="3">
        <v>0</v>
      </c>
      <c r="Q11" s="3">
        <v>1</v>
      </c>
      <c r="R11" s="10">
        <v>0</v>
      </c>
      <c r="S11" s="21">
        <v>4</v>
      </c>
      <c r="T11" s="3">
        <v>2</v>
      </c>
      <c r="U11" s="3">
        <v>2</v>
      </c>
      <c r="V11" s="10">
        <v>7</v>
      </c>
      <c r="W11" s="42">
        <f t="shared" si="0"/>
        <v>11</v>
      </c>
      <c r="X11" s="13">
        <f t="shared" si="3"/>
        <v>4</v>
      </c>
      <c r="Y11" s="16">
        <v>0</v>
      </c>
      <c r="Z11" s="16">
        <v>0</v>
      </c>
    </row>
    <row r="12" spans="1:26" ht="28.2" customHeight="1" thickTop="1" thickBot="1">
      <c r="A12" s="38" t="s">
        <v>40</v>
      </c>
      <c r="B12" s="3">
        <v>30</v>
      </c>
      <c r="C12" s="2">
        <v>30</v>
      </c>
      <c r="D12" s="3">
        <v>24</v>
      </c>
      <c r="E12" s="3">
        <v>2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2">
        <f t="shared" si="1"/>
        <v>30</v>
      </c>
      <c r="L12" s="9">
        <f t="shared" si="4"/>
        <v>31</v>
      </c>
      <c r="M12" s="2">
        <v>18</v>
      </c>
      <c r="N12" s="3">
        <v>2</v>
      </c>
      <c r="O12" s="3">
        <v>1</v>
      </c>
      <c r="P12" s="3">
        <v>1</v>
      </c>
      <c r="Q12" s="3">
        <v>0</v>
      </c>
      <c r="R12" s="10">
        <v>0</v>
      </c>
      <c r="S12" s="21">
        <v>0</v>
      </c>
      <c r="T12" s="3">
        <v>7</v>
      </c>
      <c r="U12" s="3">
        <v>0</v>
      </c>
      <c r="V12" s="10">
        <v>2</v>
      </c>
      <c r="W12" s="42">
        <f t="shared" si="0"/>
        <v>9</v>
      </c>
      <c r="X12" s="13">
        <f t="shared" si="3"/>
        <v>25</v>
      </c>
      <c r="Y12" s="16">
        <v>0</v>
      </c>
      <c r="Z12" s="16">
        <v>0</v>
      </c>
    </row>
    <row r="13" spans="1:26" ht="27.6" customHeight="1" thickTop="1" thickBot="1">
      <c r="A13" s="39" t="s">
        <v>22</v>
      </c>
      <c r="B13" s="3">
        <v>57</v>
      </c>
      <c r="C13" s="2">
        <v>56</v>
      </c>
      <c r="D13" s="3">
        <v>48</v>
      </c>
      <c r="E13" s="3">
        <v>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2">
        <f t="shared" si="1"/>
        <v>57</v>
      </c>
      <c r="L13" s="9">
        <f t="shared" si="4"/>
        <v>58</v>
      </c>
      <c r="M13" s="2">
        <v>35</v>
      </c>
      <c r="N13" s="3">
        <v>2</v>
      </c>
      <c r="O13" s="3">
        <v>5</v>
      </c>
      <c r="P13" s="3">
        <v>1</v>
      </c>
      <c r="Q13" s="3">
        <v>0</v>
      </c>
      <c r="R13" s="10">
        <v>0</v>
      </c>
      <c r="S13" s="21">
        <v>0</v>
      </c>
      <c r="T13" s="3">
        <v>13</v>
      </c>
      <c r="U13" s="3">
        <v>0</v>
      </c>
      <c r="V13" s="10">
        <v>2</v>
      </c>
      <c r="W13" s="42">
        <f t="shared" si="0"/>
        <v>15</v>
      </c>
      <c r="X13" s="13">
        <f t="shared" si="3"/>
        <v>48</v>
      </c>
      <c r="Y13" s="16">
        <v>0</v>
      </c>
      <c r="Z13" s="16">
        <v>0</v>
      </c>
    </row>
    <row r="14" spans="1:26" ht="28.8" customHeight="1" thickTop="1" thickBot="1">
      <c r="A14" s="38" t="s">
        <v>23</v>
      </c>
      <c r="B14" s="3">
        <v>3</v>
      </c>
      <c r="C14" s="2">
        <v>2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>
        <f t="shared" si="1"/>
        <v>3</v>
      </c>
      <c r="L14" s="9">
        <f t="shared" si="4"/>
        <v>4</v>
      </c>
      <c r="M14" s="2">
        <v>0</v>
      </c>
      <c r="N14" s="3">
        <v>2</v>
      </c>
      <c r="O14" s="3">
        <v>1</v>
      </c>
      <c r="P14" s="3">
        <v>0</v>
      </c>
      <c r="Q14" s="3">
        <v>0</v>
      </c>
      <c r="R14" s="10">
        <v>0</v>
      </c>
      <c r="S14" s="21">
        <v>1</v>
      </c>
      <c r="T14" s="3">
        <v>0</v>
      </c>
      <c r="U14" s="3">
        <v>0</v>
      </c>
      <c r="V14" s="10">
        <v>0</v>
      </c>
      <c r="W14" s="42">
        <f t="shared" si="0"/>
        <v>0</v>
      </c>
      <c r="X14" s="13">
        <f t="shared" si="3"/>
        <v>0</v>
      </c>
      <c r="Y14" s="16">
        <v>0</v>
      </c>
      <c r="Z14" s="16">
        <v>0</v>
      </c>
    </row>
    <row r="15" spans="1:26" ht="30.6" customHeight="1" thickTop="1" thickBot="1">
      <c r="A15" s="38" t="s">
        <v>24</v>
      </c>
      <c r="B15" s="3">
        <v>47</v>
      </c>
      <c r="C15" s="2">
        <v>47</v>
      </c>
      <c r="D15" s="3">
        <v>28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>
        <f t="shared" si="1"/>
        <v>47</v>
      </c>
      <c r="L15" s="9">
        <f t="shared" si="4"/>
        <v>47</v>
      </c>
      <c r="M15" s="2">
        <v>28</v>
      </c>
      <c r="N15" s="3">
        <v>5</v>
      </c>
      <c r="O15" s="3">
        <v>3</v>
      </c>
      <c r="P15" s="3">
        <v>0</v>
      </c>
      <c r="Q15" s="3">
        <v>0</v>
      </c>
      <c r="R15" s="10">
        <v>0</v>
      </c>
      <c r="S15" s="21">
        <v>0</v>
      </c>
      <c r="T15" s="3">
        <v>10</v>
      </c>
      <c r="U15" s="3">
        <v>1</v>
      </c>
      <c r="V15" s="10">
        <v>0</v>
      </c>
      <c r="W15" s="42">
        <f t="shared" si="0"/>
        <v>11</v>
      </c>
      <c r="X15" s="13">
        <f t="shared" si="3"/>
        <v>38</v>
      </c>
      <c r="Y15" s="16">
        <v>0</v>
      </c>
      <c r="Z15" s="16">
        <v>0</v>
      </c>
    </row>
    <row r="16" spans="1:26" ht="39" customHeight="1" thickTop="1" thickBot="1">
      <c r="A16" s="40" t="s">
        <v>25</v>
      </c>
      <c r="B16" s="25">
        <v>4</v>
      </c>
      <c r="C16" s="2">
        <v>1</v>
      </c>
      <c r="D16" s="3">
        <v>0</v>
      </c>
      <c r="E16" s="3">
        <v>1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2">
        <f t="shared" si="1"/>
        <v>1</v>
      </c>
      <c r="L16" s="9">
        <f t="shared" si="4"/>
        <v>4</v>
      </c>
      <c r="M16" s="2">
        <v>0</v>
      </c>
      <c r="N16" s="3">
        <v>0</v>
      </c>
      <c r="O16" s="3">
        <v>1</v>
      </c>
      <c r="P16" s="3">
        <v>0</v>
      </c>
      <c r="Q16" s="3">
        <v>1</v>
      </c>
      <c r="R16" s="10">
        <v>0</v>
      </c>
      <c r="S16" s="21">
        <v>2</v>
      </c>
      <c r="T16" s="3">
        <v>0</v>
      </c>
      <c r="U16" s="3">
        <v>0</v>
      </c>
      <c r="V16" s="10">
        <v>0</v>
      </c>
      <c r="W16" s="43">
        <f t="shared" si="0"/>
        <v>0</v>
      </c>
      <c r="X16" s="13">
        <f t="shared" si="3"/>
        <v>0</v>
      </c>
      <c r="Y16" s="16">
        <v>0</v>
      </c>
      <c r="Z16" s="16">
        <v>0</v>
      </c>
    </row>
    <row r="17" spans="1:26" ht="39" customHeight="1" thickTop="1" thickBot="1">
      <c r="A17" s="40" t="s">
        <v>43</v>
      </c>
      <c r="B17" s="25">
        <v>20</v>
      </c>
      <c r="C17" s="2">
        <v>18</v>
      </c>
      <c r="D17" s="3">
        <v>10</v>
      </c>
      <c r="E17" s="3">
        <v>2</v>
      </c>
      <c r="F17" s="3">
        <v>2</v>
      </c>
      <c r="G17" s="3">
        <v>0</v>
      </c>
      <c r="H17" s="3">
        <v>0</v>
      </c>
      <c r="I17" s="3">
        <v>1</v>
      </c>
      <c r="J17" s="3">
        <v>0</v>
      </c>
      <c r="K17" s="2">
        <f t="shared" si="1"/>
        <v>19</v>
      </c>
      <c r="L17" s="9">
        <f t="shared" si="4"/>
        <v>21</v>
      </c>
      <c r="M17" s="2">
        <v>10</v>
      </c>
      <c r="N17" s="3">
        <v>0</v>
      </c>
      <c r="O17" s="3">
        <v>2</v>
      </c>
      <c r="P17" s="3">
        <v>1</v>
      </c>
      <c r="Q17" s="3">
        <v>0</v>
      </c>
      <c r="R17" s="10">
        <v>0</v>
      </c>
      <c r="S17" s="21">
        <v>1</v>
      </c>
      <c r="T17" s="3">
        <v>1</v>
      </c>
      <c r="U17" s="3">
        <v>1</v>
      </c>
      <c r="V17" s="10">
        <v>5</v>
      </c>
      <c r="W17" s="43">
        <f t="shared" si="0"/>
        <v>7</v>
      </c>
      <c r="X17" s="13">
        <f t="shared" si="3"/>
        <v>11</v>
      </c>
      <c r="Y17" s="16">
        <v>0</v>
      </c>
      <c r="Z17" s="16">
        <v>0</v>
      </c>
    </row>
    <row r="18" spans="1:26" ht="32.25" customHeight="1" thickTop="1" thickBot="1">
      <c r="A18" s="41" t="s">
        <v>7</v>
      </c>
      <c r="B18" s="7">
        <f t="shared" ref="B18:W18" si="5">SUM(B4:B17)</f>
        <v>436</v>
      </c>
      <c r="C18" s="7">
        <f t="shared" si="5"/>
        <v>366</v>
      </c>
      <c r="D18" s="7">
        <f t="shared" si="5"/>
        <v>239</v>
      </c>
      <c r="E18" s="7">
        <f t="shared" si="5"/>
        <v>30</v>
      </c>
      <c r="F18" s="7">
        <f>SUM(F4:F17)</f>
        <v>16</v>
      </c>
      <c r="G18" s="7">
        <f t="shared" si="5"/>
        <v>9</v>
      </c>
      <c r="H18" s="7">
        <f t="shared" si="5"/>
        <v>32</v>
      </c>
      <c r="I18" s="7">
        <f t="shared" si="5"/>
        <v>19</v>
      </c>
      <c r="J18" s="7">
        <f t="shared" si="5"/>
        <v>12</v>
      </c>
      <c r="K18" s="5">
        <f t="shared" si="5"/>
        <v>396</v>
      </c>
      <c r="L18" s="7">
        <f>SUM(L4:L17)</f>
        <v>433</v>
      </c>
      <c r="M18" s="7">
        <f t="shared" si="5"/>
        <v>185</v>
      </c>
      <c r="N18" s="7">
        <f t="shared" si="5"/>
        <v>35</v>
      </c>
      <c r="O18" s="7">
        <f t="shared" si="5"/>
        <v>46</v>
      </c>
      <c r="P18" s="7">
        <f t="shared" si="5"/>
        <v>5</v>
      </c>
      <c r="Q18" s="7">
        <f t="shared" si="5"/>
        <v>8</v>
      </c>
      <c r="R18" s="8">
        <f t="shared" si="5"/>
        <v>1</v>
      </c>
      <c r="S18" s="22">
        <f t="shared" si="5"/>
        <v>23</v>
      </c>
      <c r="T18" s="24">
        <f t="shared" si="5"/>
        <v>79</v>
      </c>
      <c r="U18" s="7">
        <f t="shared" si="5"/>
        <v>16</v>
      </c>
      <c r="V18" s="8">
        <f t="shared" si="5"/>
        <v>35</v>
      </c>
      <c r="W18" s="17">
        <f t="shared" si="5"/>
        <v>130</v>
      </c>
      <c r="X18" s="14">
        <f>SUM(M18+T18)</f>
        <v>264</v>
      </c>
      <c r="Y18" s="17"/>
      <c r="Z18" s="17"/>
    </row>
    <row r="19" spans="1:26" ht="34.799999999999997" customHeight="1" thickTop="1" thickBot="1">
      <c r="A19" s="39" t="s">
        <v>0</v>
      </c>
      <c r="B19" s="2">
        <v>48</v>
      </c>
      <c r="C19" s="2">
        <v>48</v>
      </c>
      <c r="D19" s="2">
        <v>45</v>
      </c>
      <c r="E19" s="2">
        <v>11</v>
      </c>
      <c r="F19" s="2">
        <v>11</v>
      </c>
      <c r="G19" s="2">
        <v>11</v>
      </c>
      <c r="H19" s="2">
        <v>12</v>
      </c>
      <c r="I19" s="2">
        <v>12</v>
      </c>
      <c r="J19" s="2">
        <v>12</v>
      </c>
      <c r="K19" s="2">
        <f>SUM(M19+N19+O19+T19+U19+V19)</f>
        <v>47</v>
      </c>
      <c r="L19" s="9">
        <f>SUM(M19+N19+O19+P19+R19+Q19)</f>
        <v>47</v>
      </c>
      <c r="M19" s="2">
        <v>44</v>
      </c>
      <c r="N19" s="2">
        <v>0</v>
      </c>
      <c r="O19" s="2">
        <v>3</v>
      </c>
      <c r="P19" s="3"/>
      <c r="Q19" s="3">
        <v>0</v>
      </c>
      <c r="R19" s="10"/>
      <c r="S19" s="21"/>
      <c r="T19" s="3"/>
      <c r="U19" s="3"/>
      <c r="V19" s="10"/>
      <c r="W19" s="16"/>
      <c r="X19" s="13">
        <f>SUM(M19+T19)</f>
        <v>44</v>
      </c>
      <c r="Y19" s="16"/>
      <c r="Z19" s="16"/>
    </row>
    <row r="20" spans="1:26" ht="33.6" customHeight="1" thickTop="1" thickBot="1">
      <c r="A20" s="38" t="s">
        <v>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>SUM(M20+N20+O20+T20+U20+V20)</f>
        <v>0</v>
      </c>
      <c r="L20" s="9">
        <f>SUM(M20+N20+O20+P20+R20+Q20)</f>
        <v>0</v>
      </c>
      <c r="M20" s="2"/>
      <c r="N20" s="2"/>
      <c r="O20" s="2"/>
      <c r="P20" s="3"/>
      <c r="Q20" s="3"/>
      <c r="R20" s="10"/>
      <c r="S20" s="21"/>
      <c r="T20" s="3"/>
      <c r="U20" s="3"/>
      <c r="V20" s="10"/>
      <c r="W20" s="16"/>
      <c r="X20" s="13">
        <f>SUM(M20+T20)</f>
        <v>0</v>
      </c>
      <c r="Y20" s="16"/>
      <c r="Z20" s="16"/>
    </row>
    <row r="21" spans="1:26" ht="34.799999999999997" customHeight="1" thickTop="1" thickBot="1">
      <c r="A21" s="38" t="s">
        <v>2</v>
      </c>
      <c r="B21" s="2">
        <v>209</v>
      </c>
      <c r="C21" s="2">
        <v>209</v>
      </c>
      <c r="D21" s="2">
        <v>87</v>
      </c>
      <c r="E21" s="2">
        <v>17</v>
      </c>
      <c r="F21" s="2">
        <v>17</v>
      </c>
      <c r="G21" s="2">
        <v>3</v>
      </c>
      <c r="H21" s="2">
        <v>40</v>
      </c>
      <c r="I21" s="2">
        <v>40</v>
      </c>
      <c r="J21" s="2">
        <v>25</v>
      </c>
      <c r="K21" s="2">
        <f>SUM(M21+N21+O21+T21+U21+V21)</f>
        <v>186</v>
      </c>
      <c r="L21" s="9">
        <f>SUM(M21+N21+O21+P21+R21+Q21)</f>
        <v>186</v>
      </c>
      <c r="M21" s="2">
        <v>66</v>
      </c>
      <c r="N21" s="2">
        <v>67</v>
      </c>
      <c r="O21" s="2">
        <v>53</v>
      </c>
      <c r="P21" s="3"/>
      <c r="Q21" s="3"/>
      <c r="R21" s="10"/>
      <c r="S21" s="21"/>
      <c r="T21" s="3"/>
      <c r="U21" s="3"/>
      <c r="V21" s="10"/>
      <c r="W21" s="16"/>
      <c r="X21" s="13">
        <f>SUM(M21+T21)</f>
        <v>66</v>
      </c>
      <c r="Y21" s="16"/>
      <c r="Z21" s="16"/>
    </row>
    <row r="22" spans="1:26" ht="32.25" customHeight="1" thickTop="1" thickBot="1">
      <c r="A22" s="41" t="s">
        <v>7</v>
      </c>
      <c r="B22" s="4">
        <f t="shared" ref="B22:W22" si="6">SUM(B18:B21)</f>
        <v>693</v>
      </c>
      <c r="C22" s="5">
        <f t="shared" si="6"/>
        <v>623</v>
      </c>
      <c r="D22" s="4">
        <f t="shared" si="6"/>
        <v>371</v>
      </c>
      <c r="E22" s="4">
        <f t="shared" si="6"/>
        <v>58</v>
      </c>
      <c r="F22" s="4">
        <f t="shared" si="6"/>
        <v>44</v>
      </c>
      <c r="G22" s="4">
        <f t="shared" si="6"/>
        <v>23</v>
      </c>
      <c r="H22" s="4">
        <f t="shared" si="6"/>
        <v>84</v>
      </c>
      <c r="I22" s="4">
        <f t="shared" si="6"/>
        <v>71</v>
      </c>
      <c r="J22" s="4">
        <f t="shared" si="6"/>
        <v>49</v>
      </c>
      <c r="K22" s="5">
        <f t="shared" si="6"/>
        <v>629</v>
      </c>
      <c r="L22" s="5">
        <f t="shared" si="6"/>
        <v>666</v>
      </c>
      <c r="M22" s="5">
        <f t="shared" si="6"/>
        <v>295</v>
      </c>
      <c r="N22" s="4">
        <f t="shared" si="6"/>
        <v>102</v>
      </c>
      <c r="O22" s="4">
        <f t="shared" si="6"/>
        <v>102</v>
      </c>
      <c r="P22" s="4">
        <f t="shared" si="6"/>
        <v>5</v>
      </c>
      <c r="Q22" s="4">
        <f t="shared" si="6"/>
        <v>8</v>
      </c>
      <c r="R22" s="11">
        <f t="shared" si="6"/>
        <v>1</v>
      </c>
      <c r="S22" s="23">
        <f t="shared" si="6"/>
        <v>23</v>
      </c>
      <c r="T22" s="20">
        <f t="shared" si="6"/>
        <v>79</v>
      </c>
      <c r="U22" s="4">
        <f t="shared" si="6"/>
        <v>16</v>
      </c>
      <c r="V22" s="11">
        <f t="shared" si="6"/>
        <v>35</v>
      </c>
      <c r="W22" s="18">
        <f t="shared" si="6"/>
        <v>130</v>
      </c>
      <c r="X22" s="14">
        <f>SUM(M22+T22)</f>
        <v>374</v>
      </c>
      <c r="Y22" s="18">
        <f>SUM(Y18:Y21)</f>
        <v>0</v>
      </c>
      <c r="Z22" s="18">
        <f>SUM(Z18:Z21)</f>
        <v>0</v>
      </c>
    </row>
    <row r="23" spans="1:26" ht="16.2" thickTop="1">
      <c r="X23" s="1"/>
    </row>
    <row r="24" spans="1:26" ht="15.6">
      <c r="X24" s="1"/>
    </row>
    <row r="25" spans="1:26" ht="15.6">
      <c r="X25" s="1"/>
    </row>
    <row r="26" spans="1:26" ht="15.6">
      <c r="X26" s="1"/>
    </row>
    <row r="27" spans="1:26" ht="15.6">
      <c r="X27" s="1"/>
    </row>
    <row r="28" spans="1:26" ht="15.6">
      <c r="X28" s="1"/>
    </row>
    <row r="29" spans="1:26" ht="15.6">
      <c r="X29" s="1"/>
    </row>
    <row r="30" spans="1:26" ht="15.6">
      <c r="X30" s="1"/>
    </row>
    <row r="31" spans="1:26" ht="15.6">
      <c r="X31" s="1"/>
    </row>
    <row r="32" spans="1:26" ht="15.6">
      <c r="X32" s="1"/>
    </row>
    <row r="33" spans="24:24" ht="15.6">
      <c r="X33" s="1"/>
    </row>
    <row r="34" spans="24:24" ht="15.6">
      <c r="X34" s="1"/>
    </row>
    <row r="35" spans="24:24" ht="15.6">
      <c r="X35" s="1"/>
    </row>
    <row r="36" spans="24:24" ht="15.6">
      <c r="X36" s="1"/>
    </row>
    <row r="37" spans="24:24" ht="15.6">
      <c r="X37" s="1"/>
    </row>
    <row r="38" spans="24:24" ht="15.6">
      <c r="X38" s="1"/>
    </row>
    <row r="39" spans="24:24" ht="15.6">
      <c r="X39" s="1"/>
    </row>
    <row r="40" spans="24:24" ht="15.6">
      <c r="X40" s="1"/>
    </row>
    <row r="41" spans="24:24" ht="15.6">
      <c r="X41" s="1"/>
    </row>
  </sheetData>
  <mergeCells count="14">
    <mergeCell ref="A1:A2"/>
    <mergeCell ref="B1:D2"/>
    <mergeCell ref="E1:G2"/>
    <mergeCell ref="H1:J2"/>
    <mergeCell ref="K1:K3"/>
    <mergeCell ref="T1:V1"/>
    <mergeCell ref="T2:V2"/>
    <mergeCell ref="P2:P3"/>
    <mergeCell ref="Q2:Q3"/>
    <mergeCell ref="L1:S1"/>
    <mergeCell ref="R2:R3"/>
    <mergeCell ref="S2:S3"/>
    <mergeCell ref="L2:L3"/>
    <mergeCell ref="M2:O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Robert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R. Grigoryan</dc:creator>
  <cp:lastModifiedBy>user</cp:lastModifiedBy>
  <cp:lastPrinted>2026-05-05T18:49:41Z</cp:lastPrinted>
  <dcterms:created xsi:type="dcterms:W3CDTF">2009-09-28T06:38:38Z</dcterms:created>
  <dcterms:modified xsi:type="dcterms:W3CDTF">2026-05-05T20:24:11Z</dcterms:modified>
</cp:coreProperties>
</file>